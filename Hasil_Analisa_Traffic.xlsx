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New folder\"/>
    </mc:Choice>
  </mc:AlternateContent>
  <xr:revisionPtr revIDLastSave="0" documentId="8_{A192A512-62B6-4A2E-8F9A-8E494F0892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_Per_Hari" sheetId="1" r:id="rId1"/>
    <sheet name="Statistik_Hubungan" sheetId="2" r:id="rId2"/>
    <sheet name="Statistik_Deskriptif" sheetId="3" r:id="rId3"/>
    <sheet name="Rumus_Matematis" sheetId="4" r:id="rId4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" l="1"/>
  <c r="C6" i="3"/>
  <c r="C5" i="3"/>
  <c r="C4" i="3"/>
  <c r="I7" i="3"/>
  <c r="F7" i="3"/>
  <c r="G7" i="3" s="1"/>
  <c r="D7" i="3"/>
  <c r="E7" i="3" s="1"/>
  <c r="B7" i="3"/>
  <c r="I6" i="3"/>
  <c r="F6" i="3"/>
  <c r="G6" i="3" s="1"/>
  <c r="D6" i="3"/>
  <c r="E6" i="3" s="1"/>
  <c r="B6" i="3"/>
  <c r="I5" i="3"/>
  <c r="F5" i="3"/>
  <c r="G5" i="3" s="1"/>
  <c r="D5" i="3"/>
  <c r="E5" i="3" s="1"/>
  <c r="B5" i="3"/>
  <c r="F4" i="3"/>
  <c r="G4" i="3" s="1"/>
  <c r="D4" i="3"/>
  <c r="E4" i="3" s="1"/>
  <c r="B4" i="3"/>
  <c r="J7" i="2"/>
  <c r="H7" i="2"/>
  <c r="G7" i="2"/>
  <c r="F7" i="2"/>
  <c r="I7" i="2" s="1"/>
  <c r="C7" i="2"/>
  <c r="E7" i="2" s="1"/>
  <c r="J6" i="2"/>
  <c r="H6" i="2"/>
  <c r="G6" i="2"/>
  <c r="F6" i="2"/>
  <c r="C6" i="2"/>
  <c r="E6" i="2" s="1"/>
  <c r="J5" i="2"/>
  <c r="H5" i="2"/>
  <c r="G5" i="2"/>
  <c r="F5" i="2"/>
  <c r="I5" i="2" s="1"/>
  <c r="C5" i="2"/>
  <c r="E5" i="2" s="1"/>
  <c r="H4" i="2"/>
  <c r="G4" i="2"/>
  <c r="F4" i="2"/>
  <c r="C4" i="2"/>
  <c r="E4" i="2" s="1"/>
  <c r="I4" i="3"/>
  <c r="J4" i="2"/>
  <c r="I6" i="2" l="1"/>
  <c r="I4" i="2"/>
  <c r="H4" i="3"/>
  <c r="D6" i="2"/>
  <c r="D7" i="2"/>
  <c r="H5" i="3"/>
  <c r="H7" i="3"/>
  <c r="D5" i="2"/>
  <c r="D4" i="2"/>
  <c r="H6" i="3"/>
</calcChain>
</file>

<file path=xl/sharedStrings.xml><?xml version="1.0" encoding="utf-8"?>
<sst xmlns="http://schemas.openxmlformats.org/spreadsheetml/2006/main" count="76" uniqueCount="67">
  <si>
    <t>Data Per Hari: Total Kendaraan dan Parameter GNSS</t>
  </si>
  <si>
    <t>Hari</t>
  </si>
  <si>
    <t>Mobil_1Jam</t>
  </si>
  <si>
    <t>Truck_1Jam</t>
  </si>
  <si>
    <t>Motor_1Jam</t>
  </si>
  <si>
    <t>Total_1Jam</t>
  </si>
  <si>
    <t>Avg_RMSE_Horiz_m</t>
  </si>
  <si>
    <t>Avg_RMSE_Vert_m</t>
  </si>
  <si>
    <t>Avg_RMSE_Lat_m</t>
  </si>
  <si>
    <t>Avg_RMSE_Long_m</t>
  </si>
  <si>
    <t>Day 1</t>
  </si>
  <si>
    <t>Day 2</t>
  </si>
  <si>
    <t>Day 3</t>
  </si>
  <si>
    <t>Day 4</t>
  </si>
  <si>
    <t>Statistik Hubungan: Total Kendaraan vs Parameter GNSS</t>
  </si>
  <si>
    <t>Parameter_GNSS</t>
  </si>
  <si>
    <t>Faktor</t>
  </si>
  <si>
    <t>r</t>
  </si>
  <si>
    <t>Arah</t>
  </si>
  <si>
    <t>Kekuatan</t>
  </si>
  <si>
    <t>Slope</t>
  </si>
  <si>
    <t>Intersep</t>
  </si>
  <si>
    <t>R2</t>
  </si>
  <si>
    <t>Persamaan_Regresi</t>
  </si>
  <si>
    <t>Rumus_Excel</t>
  </si>
  <si>
    <t>Statistik Deskriptif Parameter GNSS Antar-Hari</t>
  </si>
  <si>
    <t>Parameter</t>
  </si>
  <si>
    <t>Mean</t>
  </si>
  <si>
    <t>SD Sampel</t>
  </si>
  <si>
    <t>Minimum</t>
  </si>
  <si>
    <t>Hari Minimum</t>
  </si>
  <si>
    <t>Maksimum</t>
  </si>
  <si>
    <t>Hari Maksimum</t>
  </si>
  <si>
    <t>CV (%)</t>
  </si>
  <si>
    <t>Rumus_Mean</t>
  </si>
  <si>
    <t>RMSE Horizontal</t>
  </si>
  <si>
    <t>RMSE Vertikal</t>
  </si>
  <si>
    <t>RMSE Latitude</t>
  </si>
  <si>
    <t>RMSE Longitude</t>
  </si>
  <si>
    <t>Rumus Matematis yang Dipakai</t>
  </si>
  <si>
    <t>Komponen</t>
  </si>
  <si>
    <t>Rumus</t>
  </si>
  <si>
    <t>Makna</t>
  </si>
  <si>
    <t>Contoh fungsi Excel</t>
  </si>
  <si>
    <t>Koefisien korelasi</t>
  </si>
  <si>
    <t>Menunjukkan arah dan kekuatan hubungan linear</t>
  </si>
  <si>
    <t>CORREL(x,y)</t>
  </si>
  <si>
    <t>Regresi linear</t>
  </si>
  <si>
    <t>y = a + bx</t>
  </si>
  <si>
    <t>b = slope, a = intersep</t>
  </si>
  <si>
    <t>SLOPE(y,x), INTERCEPT(y,x)</t>
  </si>
  <si>
    <t>Koefisien determinasi</t>
  </si>
  <si>
    <t>R² = r²</t>
  </si>
  <si>
    <t>Proporsi variasi y yang dijelaskan oleh x</t>
  </si>
  <si>
    <t>RSQ(y,x)</t>
  </si>
  <si>
    <t>Rata-rata</t>
  </si>
  <si>
    <t>x̄ = Σx / n</t>
  </si>
  <si>
    <t>Nilai tengah dari data</t>
  </si>
  <si>
    <t>AVERAGE(range)</t>
  </si>
  <si>
    <t>SD sampel</t>
  </si>
  <si>
    <t>s = √(Σ(x-x̄)²/(n-1))</t>
  </si>
  <si>
    <t>Penyebaran data terhadap mean</t>
  </si>
  <si>
    <t>STDEV.S(range)</t>
  </si>
  <si>
    <t>CV</t>
  </si>
  <si>
    <t>CV = (SD / Mean) × 100%</t>
  </si>
  <si>
    <t>Keragaman relatif</t>
  </si>
  <si>
    <t>(SD/Mean)*100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</si>
</sst>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1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1F1F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PerHariAktual" displayName="DataPerHariAktual" ref="A3:I7">
  <autoFilter ref="A3:I7" xr:uid="{00000000-0009-0000-0100-000001000000}"/>
  <tableColumns count="9">
    <tableColumn id="1" xr3:uid="{00000000-0010-0000-0000-000001000000}" name="Hari"/>
    <tableColumn id="2" xr3:uid="{00000000-0010-0000-0000-000002000000}" name="Mobil_1Jam"/>
    <tableColumn id="3" xr3:uid="{00000000-0010-0000-0000-000003000000}" name="Truck_1Jam"/>
    <tableColumn id="4" xr3:uid="{00000000-0010-0000-0000-000004000000}" name="Motor_1Jam"/>
    <tableColumn id="5" xr3:uid="{00000000-0010-0000-0000-000005000000}" name="Total_1Jam"/>
    <tableColumn id="6" xr3:uid="{00000000-0010-0000-0000-000006000000}" name="Avg_RMSE_Horiz_m"/>
    <tableColumn id="7" xr3:uid="{00000000-0010-0000-0000-000007000000}" name="Avg_RMSE_Vert_m"/>
    <tableColumn id="8" xr3:uid="{00000000-0010-0000-0000-000008000000}" name="Avg_RMSE_Lat_m"/>
    <tableColumn id="9" xr3:uid="{00000000-0010-0000-0000-000009000000}" name="Avg_RMSE_Long_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E6" sqref="E6"/>
    </sheetView>
  </sheetViews>
  <sheetFormatPr defaultRowHeight="14.4" x14ac:dyDescent="0.3"/>
  <cols>
    <col min="1" max="1" width="10" customWidth="1"/>
    <col min="2" max="5" width="12" customWidth="1"/>
    <col min="6" max="8" width="16" customWidth="1"/>
    <col min="9" max="9" width="20.44140625" customWidth="1"/>
  </cols>
  <sheetData>
    <row r="1" spans="1:9" ht="17.399999999999999" x14ac:dyDescent="0.3">
      <c r="A1" s="5" t="s">
        <v>0</v>
      </c>
      <c r="B1" s="6"/>
      <c r="C1" s="6"/>
      <c r="D1" s="6"/>
      <c r="E1" s="6"/>
      <c r="F1" s="6"/>
      <c r="G1" s="6"/>
      <c r="H1" s="6"/>
      <c r="I1" s="6"/>
    </row>
    <row r="3" spans="1:9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x14ac:dyDescent="0.3">
      <c r="A4" s="2" t="s">
        <v>10</v>
      </c>
      <c r="B4" s="2">
        <v>564</v>
      </c>
      <c r="C4" s="2">
        <v>280</v>
      </c>
      <c r="D4" s="2">
        <v>960</v>
      </c>
      <c r="E4" s="2">
        <v>1804</v>
      </c>
      <c r="F4" s="2">
        <v>0.57999999999999996</v>
      </c>
      <c r="G4" s="2">
        <v>0.70299999999999996</v>
      </c>
      <c r="H4" s="2">
        <v>0.49299999999999999</v>
      </c>
      <c r="I4" s="2">
        <v>0.30099999999999999</v>
      </c>
    </row>
    <row r="5" spans="1:9" x14ac:dyDescent="0.3">
      <c r="A5" s="2" t="s">
        <v>11</v>
      </c>
      <c r="B5" s="2">
        <v>632</v>
      </c>
      <c r="C5" s="2">
        <v>330</v>
      </c>
      <c r="D5" s="2">
        <v>1056</v>
      </c>
      <c r="E5" s="2">
        <v>2018</v>
      </c>
      <c r="F5" s="2">
        <v>0.193</v>
      </c>
      <c r="G5" s="2">
        <v>0.122</v>
      </c>
      <c r="H5" s="2">
        <v>0.17299999999999999</v>
      </c>
      <c r="I5" s="2">
        <v>0.17</v>
      </c>
    </row>
    <row r="6" spans="1:9" x14ac:dyDescent="0.3">
      <c r="A6" s="2" t="s">
        <v>12</v>
      </c>
      <c r="B6" s="2">
        <v>479</v>
      </c>
      <c r="C6" s="2">
        <v>221</v>
      </c>
      <c r="D6" s="2">
        <v>845</v>
      </c>
      <c r="E6" s="2">
        <v>1545</v>
      </c>
      <c r="F6" s="2">
        <v>0.41299999999999998</v>
      </c>
      <c r="G6" s="2">
        <v>0.34300000000000003</v>
      </c>
      <c r="H6" s="2">
        <v>0.29599999999999999</v>
      </c>
      <c r="I6" s="2">
        <v>0.22800000000000001</v>
      </c>
    </row>
    <row r="7" spans="1:9" x14ac:dyDescent="0.3">
      <c r="A7" s="2" t="s">
        <v>13</v>
      </c>
      <c r="B7" s="2">
        <v>609</v>
      </c>
      <c r="C7" s="2">
        <v>252</v>
      </c>
      <c r="D7" s="2">
        <v>1008</v>
      </c>
      <c r="E7" s="2">
        <v>1869</v>
      </c>
      <c r="F7" s="2">
        <v>0.129</v>
      </c>
      <c r="G7" s="2">
        <v>0.29099999999999998</v>
      </c>
      <c r="H7" s="2">
        <v>0.23599999999999999</v>
      </c>
      <c r="I7" s="2">
        <v>0.113</v>
      </c>
    </row>
  </sheetData>
  <mergeCells count="1">
    <mergeCell ref="A1:I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>
      <selection activeCell="E28" sqref="E28"/>
    </sheetView>
  </sheetViews>
  <sheetFormatPr defaultRowHeight="14.4" x14ac:dyDescent="0.3"/>
  <cols>
    <col min="1" max="1" width="20" customWidth="1"/>
    <col min="2" max="2" width="14" customWidth="1"/>
    <col min="3" max="3" width="8" customWidth="1"/>
    <col min="4" max="4" width="10" customWidth="1"/>
    <col min="5" max="7" width="12" customWidth="1"/>
    <col min="8" max="8" width="8" customWidth="1"/>
    <col min="9" max="10" width="28" customWidth="1"/>
  </cols>
  <sheetData>
    <row r="1" spans="1:10" ht="17.399999999999999" x14ac:dyDescent="0.3">
      <c r="A1" s="5" t="s">
        <v>14</v>
      </c>
      <c r="B1" s="6"/>
      <c r="C1" s="6"/>
      <c r="D1" s="6"/>
      <c r="E1" s="6"/>
      <c r="F1" s="6"/>
      <c r="G1" s="6"/>
      <c r="H1" s="6"/>
      <c r="I1" s="6"/>
      <c r="J1" s="6"/>
    </row>
    <row r="3" spans="1:10" x14ac:dyDescent="0.3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</row>
    <row r="4" spans="1:10" x14ac:dyDescent="0.3">
      <c r="A4" s="2" t="s">
        <v>6</v>
      </c>
      <c r="B4" s="2" t="s">
        <v>5</v>
      </c>
      <c r="C4" s="2">
        <f>CORREL(Data_Per_Hari!$E$4:$E$7,Data_Per_Hari!$F4:F7)</f>
        <v>-0.52066403621104518</v>
      </c>
      <c r="D4" s="4" t="str">
        <f>IF(C4&gt;0,"Positif","Negatif")</f>
        <v>Negatif</v>
      </c>
      <c r="E4" s="2" t="str">
        <f>IF(ABS(C4)&lt;0.3,"Lemah",IF(ABS(C4)&lt;0.6,"Sedang","Kuat"))</f>
        <v>Sedang</v>
      </c>
      <c r="F4" s="2">
        <f>SLOPE(Data_Per_Hari!$F4:F7,Data_Per_Hari!$E$4:$E$7)</f>
        <v>-5.4575990154014456E-4</v>
      </c>
      <c r="G4" s="2">
        <f>INTERCEPT(Data_Per_Hari!$F4:F7,Data_Per_Hari!$E$4:$E$7)</f>
        <v>1.3160296618861214</v>
      </c>
      <c r="H4" s="2">
        <f>RSQ(Data_Per_Hari!$F4:F7,Data_Per_Hari!$E$4:$E$7)</f>
        <v>0.27109103860357658</v>
      </c>
      <c r="I4" s="2" t="str">
        <f>_xlfn.CONCAT("y = ",TEXT(F4,"0.000000"),"x + ",TEXT(G4,"0.000000"))</f>
        <v>y = -0.000546x + 1.316030</v>
      </c>
      <c r="J4" s="2" t="str">
        <f ca="1">_xlfn.FORMULATEXT(C4)</f>
        <v>=CORREL(Data_Per_Hari!$E$4:$E$7;Data_Per_Hari!$F4:F7)</v>
      </c>
    </row>
    <row r="5" spans="1:10" x14ac:dyDescent="0.3">
      <c r="A5" s="2" t="s">
        <v>7</v>
      </c>
      <c r="B5" s="2" t="s">
        <v>5</v>
      </c>
      <c r="C5" s="2">
        <f>CORREL(Data_Per_Hari!$E$4:$E$7,Data_Per_Hari!$G4:G7)</f>
        <v>-0.35291313884596304</v>
      </c>
      <c r="D5" s="4" t="str">
        <f>IF(C5&gt;0,"Positif","Negatif")</f>
        <v>Negatif</v>
      </c>
      <c r="E5" s="2" t="str">
        <f>IF(ABS(C5)&lt;0.3,"Lemah",IF(ABS(C5)&lt;0.6,"Sedang","Kuat"))</f>
        <v>Sedang</v>
      </c>
      <c r="F5" s="2">
        <f>SLOPE(Data_Per_Hari!$G4:G7,Data_Per_Hari!$E$4:$E$7)</f>
        <v>-4.3682159279328559E-4</v>
      </c>
      <c r="G5" s="2">
        <f>INTERCEPT(Data_Per_Hari!$G4:G7,Data_Per_Hari!$E$4:$E$7)</f>
        <v>1.1549602613630536</v>
      </c>
      <c r="H5" s="2">
        <f>RSQ(Data_Per_Hari!$G4:G7,Data_Per_Hari!$E$4:$E$7)</f>
        <v>0.12454768357011002</v>
      </c>
      <c r="I5" s="2" t="str">
        <f>_xlfn.CONCAT("y = ",TEXT(F5,"0.000000"),"x + ",TEXT(G5,"0.000000"))</f>
        <v>y = -0.000437x + 1.154960</v>
      </c>
      <c r="J5" s="2" t="e">
        <f ca="1">_xludf.FORMULATEXT(C5)</f>
        <v>#NAME?</v>
      </c>
    </row>
    <row r="6" spans="1:10" x14ac:dyDescent="0.3">
      <c r="A6" s="2" t="s">
        <v>8</v>
      </c>
      <c r="B6" s="2" t="s">
        <v>5</v>
      </c>
      <c r="C6" s="2">
        <f>CORREL(Data_Per_Hari!$E$4:$E$7,Data_Per_Hari!$H4:H7)</f>
        <v>-0.36935070152461291</v>
      </c>
      <c r="D6" s="7" t="str">
        <f>IF(C6&gt;0,"Positif","Negatif")</f>
        <v>Negatif</v>
      </c>
      <c r="E6" s="2" t="str">
        <f>IF(ABS(C6)&lt;0.3,"Lemah",IF(ABS(C6)&lt;0.6,"Sedang","Kuat"))</f>
        <v>Sedang</v>
      </c>
      <c r="F6" s="2">
        <f>SLOPE(Data_Per_Hari!$H4:H7,Data_Per_Hari!$E$4:$E$7)</f>
        <v>-2.589015572383378E-4</v>
      </c>
      <c r="G6" s="2">
        <f>INTERCEPT(Data_Per_Hari!$H4:H7,Data_Per_Hari!$E$4:$E$7)</f>
        <v>0.76785291704415304</v>
      </c>
      <c r="H6" s="2">
        <f>RSQ(Data_Per_Hari!$H4:H7,Data_Per_Hari!$E$4:$E$7)</f>
        <v>0.13641994071672364</v>
      </c>
      <c r="I6" s="2" t="str">
        <f>_xlfn.CONCAT("y = ",TEXT(F6,"0.000000"),"x + ",TEXT(G6,"0.000000"))</f>
        <v>y = -0.000259x + 0.767853</v>
      </c>
      <c r="J6" s="2" t="e">
        <f ca="1">_xludf.FORMULATEXT(C6)</f>
        <v>#NAME?</v>
      </c>
    </row>
    <row r="7" spans="1:10" x14ac:dyDescent="0.3">
      <c r="A7" s="2" t="s">
        <v>9</v>
      </c>
      <c r="B7" s="2" t="s">
        <v>5</v>
      </c>
      <c r="C7" s="2">
        <f>CORREL(Data_Per_Hari!$E$4:$E$7,Data_Per_Hari!$I4:I7)</f>
        <v>-0.40673516261297266</v>
      </c>
      <c r="D7" s="4" t="str">
        <f>IF(C7&gt;0,"Positif","Negatif")</f>
        <v>Negatif</v>
      </c>
      <c r="E7" s="2" t="str">
        <f>IF(ABS(C7)&lt;0.3,"Lemah",IF(ABS(C7)&lt;0.6,"Sedang","Kuat"))</f>
        <v>Sedang</v>
      </c>
      <c r="F7" s="2">
        <f>SLOPE(Data_Per_Hari!$I4:I7,Data_Per_Hari!$E$4:$E$7)</f>
        <v>-1.6569802225602982E-4</v>
      </c>
      <c r="G7" s="2">
        <f>INTERCEPT(Data_Per_Hari!$I4:I7,Data_Per_Hari!$E$4:$E$7)</f>
        <v>0.50274772226115794</v>
      </c>
      <c r="H7" s="2">
        <f>RSQ(Data_Per_Hari!$I4:I7,Data_Per_Hari!$E$4:$E$7)</f>
        <v>0.16543349250580136</v>
      </c>
      <c r="I7" s="2" t="str">
        <f>_xlfn.CONCAT("y = ",TEXT(F7,"0.000000"),"x + ",TEXT(G7,"0.000000"))</f>
        <v>y = -0.000166x + 0.502748</v>
      </c>
      <c r="J7" s="2" t="e">
        <f ca="1">_xludf.FORMULATEXT(C7)</f>
        <v>#NAME?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"/>
  <sheetViews>
    <sheetView workbookViewId="0">
      <selection activeCell="H3" sqref="H3"/>
    </sheetView>
  </sheetViews>
  <sheetFormatPr defaultRowHeight="14.4" x14ac:dyDescent="0.3"/>
  <cols>
    <col min="1" max="1" width="18" customWidth="1"/>
    <col min="2" max="4" width="12" customWidth="1"/>
    <col min="5" max="5" width="14" customWidth="1"/>
    <col min="6" max="6" width="12" customWidth="1"/>
    <col min="7" max="7" width="14" customWidth="1"/>
    <col min="8" max="8" width="10" customWidth="1"/>
    <col min="9" max="9" width="24" customWidth="1"/>
  </cols>
  <sheetData>
    <row r="1" spans="1:9" ht="17.399999999999999" x14ac:dyDescent="0.3">
      <c r="A1" s="5" t="s">
        <v>25</v>
      </c>
      <c r="B1" s="6"/>
      <c r="C1" s="6"/>
      <c r="D1" s="6"/>
      <c r="E1" s="6"/>
      <c r="F1" s="6"/>
      <c r="G1" s="6"/>
      <c r="H1" s="6"/>
      <c r="I1" s="6"/>
    </row>
    <row r="3" spans="1:9" x14ac:dyDescent="0.3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</row>
    <row r="4" spans="1:9" x14ac:dyDescent="0.3">
      <c r="A4" s="2" t="s">
        <v>35</v>
      </c>
      <c r="B4" s="2">
        <f>AVERAGE(Data_Per_Hari!$F4:F7)</f>
        <v>0.32874999999999999</v>
      </c>
      <c r="C4" s="2">
        <f>_xlfn.STDEV.S(Data_Per_Hari!$F4:F7)</f>
        <v>0.20700462957785917</v>
      </c>
      <c r="D4" s="2">
        <f>MIN(Data_Per_Hari!$F4:F7)</f>
        <v>0.129</v>
      </c>
      <c r="E4" s="2" t="str">
        <f>INDEX(Data_Per_Hari!$A$4:$A$7,MATCH(D4,Data_Per_Hari!$F4:F7,0))</f>
        <v>Day 4</v>
      </c>
      <c r="F4" s="2">
        <f>MAX(Data_Per_Hari!$F4:F7)</f>
        <v>0.57999999999999996</v>
      </c>
      <c r="G4" s="2" t="str">
        <f>INDEX(Data_Per_Hari!$A$4:$A$7,MATCH(F4,Data_Per_Hari!$F4:F7,0))</f>
        <v>Day 1</v>
      </c>
      <c r="H4" s="2">
        <f>(C4/B4)*100</f>
        <v>62.967187704291774</v>
      </c>
      <c r="I4" s="2" t="str">
        <f ca="1">_xlfn.FORMULATEXT(B4)</f>
        <v>=AVERAGE(Data_Per_Hari!$F4:F7)</v>
      </c>
    </row>
    <row r="5" spans="1:9" x14ac:dyDescent="0.3">
      <c r="A5" s="2" t="s">
        <v>36</v>
      </c>
      <c r="B5" s="2">
        <f>AVERAGE(Data_Per_Hari!$G4:G7)</f>
        <v>0.36474999999999996</v>
      </c>
      <c r="C5" s="2">
        <f>_xlfn.STDEV.S(Data_Per_Hari!$G4:G7)</f>
        <v>0.24444000627284129</v>
      </c>
      <c r="D5" s="2">
        <f>MIN(Data_Per_Hari!$G4:G7)</f>
        <v>0.122</v>
      </c>
      <c r="E5" s="2" t="str">
        <f>INDEX(Data_Per_Hari!$A$4:$A$7,MATCH(D5,Data_Per_Hari!$G4:G7,0))</f>
        <v>Day 2</v>
      </c>
      <c r="F5" s="2">
        <f>MAX(Data_Per_Hari!$G4:G7)</f>
        <v>0.70299999999999996</v>
      </c>
      <c r="G5" s="2" t="str">
        <f>INDEX(Data_Per_Hari!$A$4:$A$7,MATCH(F5,Data_Per_Hari!$G4:G7,0))</f>
        <v>Day 1</v>
      </c>
      <c r="H5" s="2">
        <f>(C5/B5)*100</f>
        <v>67.015765941834488</v>
      </c>
      <c r="I5" s="2" t="e">
        <f ca="1">_xludf.FORMULATEXT(B5)</f>
        <v>#NAME?</v>
      </c>
    </row>
    <row r="6" spans="1:9" x14ac:dyDescent="0.3">
      <c r="A6" s="2" t="s">
        <v>37</v>
      </c>
      <c r="B6" s="2">
        <f>AVERAGE(Data_Per_Hari!$H4:H7)</f>
        <v>0.29949999999999999</v>
      </c>
      <c r="C6" s="2">
        <f>_xlfn.STDEV.S(Data_Per_Hari!$H4:H7)</f>
        <v>0.13843048797140023</v>
      </c>
      <c r="D6" s="2">
        <f>MIN(Data_Per_Hari!$H4:H7)</f>
        <v>0.17299999999999999</v>
      </c>
      <c r="E6" s="2" t="str">
        <f>INDEX(Data_Per_Hari!$A$4:$A$7,MATCH(D6,Data_Per_Hari!$H4:H7,0))</f>
        <v>Day 2</v>
      </c>
      <c r="F6" s="2">
        <f>MAX(Data_Per_Hari!$H4:H7)</f>
        <v>0.49299999999999999</v>
      </c>
      <c r="G6" s="2" t="str">
        <f>INDEX(Data_Per_Hari!$A$4:$A$7,MATCH(F6,Data_Per_Hari!$H4:H7,0))</f>
        <v>Day 1</v>
      </c>
      <c r="H6" s="2">
        <f>(C6/B6)*100</f>
        <v>46.220530207479207</v>
      </c>
      <c r="I6" s="2" t="e">
        <f ca="1">_xludf.FORMULATEXT(B6)</f>
        <v>#NAME?</v>
      </c>
    </row>
    <row r="7" spans="1:9" x14ac:dyDescent="0.3">
      <c r="A7" s="2" t="s">
        <v>38</v>
      </c>
      <c r="B7" s="2">
        <f>AVERAGE(Data_Per_Hari!$I4:I7)</f>
        <v>0.20299999999999999</v>
      </c>
      <c r="C7" s="2">
        <f>_xlfn.STDEV.S(Data_Per_Hari!$I4:I7)</f>
        <v>8.0452884762863983E-2</v>
      </c>
      <c r="D7" s="2">
        <f>MIN(Data_Per_Hari!$I4:I7)</f>
        <v>0.113</v>
      </c>
      <c r="E7" s="2" t="str">
        <f>INDEX(Data_Per_Hari!$A$4:$A$7,MATCH(D7,Data_Per_Hari!$I4:I7,0))</f>
        <v>Day 4</v>
      </c>
      <c r="F7" s="2">
        <f>MAX(Data_Per_Hari!$I4:I7)</f>
        <v>0.30099999999999999</v>
      </c>
      <c r="G7" s="2" t="str">
        <f>INDEX(Data_Per_Hari!$A$4:$A$7,MATCH(F7,Data_Per_Hari!$I4:I7,0))</f>
        <v>Day 1</v>
      </c>
      <c r="H7" s="2">
        <f>(C7/B7)*100</f>
        <v>39.631962937371426</v>
      </c>
      <c r="I7" s="2" t="e">
        <f ca="1">_xludf.FORMULATEXT(B7)</f>
        <v>#NAME?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>
      <selection sqref="A1:D1"/>
    </sheetView>
  </sheetViews>
  <sheetFormatPr defaultRowHeight="14.4" x14ac:dyDescent="0.3"/>
  <cols>
    <col min="1" max="1" width="20" customWidth="1"/>
    <col min="2" max="2" width="24" customWidth="1"/>
    <col min="3" max="3" width="32" customWidth="1"/>
    <col min="4" max="4" width="24" customWidth="1"/>
  </cols>
  <sheetData>
    <row r="1" spans="1:4" ht="17.399999999999999" x14ac:dyDescent="0.3">
      <c r="A1" s="5" t="s">
        <v>39</v>
      </c>
      <c r="B1" s="6"/>
      <c r="C1" s="6"/>
      <c r="D1" s="6"/>
    </row>
    <row r="3" spans="1:4" x14ac:dyDescent="0.3">
      <c r="A3" s="1" t="s">
        <v>40</v>
      </c>
      <c r="B3" s="1" t="s">
        <v>41</v>
      </c>
      <c r="C3" s="1" t="s">
        <v>42</v>
      </c>
      <c r="D3" s="1" t="s">
        <v>43</v>
      </c>
    </row>
    <row r="4" spans="1:4" ht="28.8" x14ac:dyDescent="0.3">
      <c r="A4" s="2" t="s">
        <v>44</v>
      </c>
      <c r="B4" s="3" t="s">
        <v>17</v>
      </c>
      <c r="C4" s="3" t="s">
        <v>45</v>
      </c>
      <c r="D4" s="3" t="s">
        <v>46</v>
      </c>
    </row>
    <row r="5" spans="1:4" x14ac:dyDescent="0.3">
      <c r="A5" s="2" t="s">
        <v>47</v>
      </c>
      <c r="B5" s="3" t="s">
        <v>48</v>
      </c>
      <c r="C5" s="3" t="s">
        <v>49</v>
      </c>
      <c r="D5" s="3" t="s">
        <v>50</v>
      </c>
    </row>
    <row r="6" spans="1:4" ht="28.8" x14ac:dyDescent="0.3">
      <c r="A6" s="2" t="s">
        <v>51</v>
      </c>
      <c r="B6" s="3" t="s">
        <v>52</v>
      </c>
      <c r="C6" s="3" t="s">
        <v>53</v>
      </c>
      <c r="D6" s="3" t="s">
        <v>54</v>
      </c>
    </row>
    <row r="7" spans="1:4" x14ac:dyDescent="0.3">
      <c r="A7" s="2" t="s">
        <v>55</v>
      </c>
      <c r="B7" s="3" t="s">
        <v>56</v>
      </c>
      <c r="C7" s="3" t="s">
        <v>57</v>
      </c>
      <c r="D7" s="3" t="s">
        <v>58</v>
      </c>
    </row>
    <row r="8" spans="1:4" x14ac:dyDescent="0.3">
      <c r="A8" s="2" t="s">
        <v>59</v>
      </c>
      <c r="B8" s="3" t="s">
        <v>60</v>
      </c>
      <c r="C8" s="3" t="s">
        <v>61</v>
      </c>
      <c r="D8" s="3" t="s">
        <v>62</v>
      </c>
    </row>
    <row r="9" spans="1:4" x14ac:dyDescent="0.3">
      <c r="A9" s="2" t="s">
        <v>63</v>
      </c>
      <c r="B9" s="3" t="s">
        <v>64</v>
      </c>
      <c r="C9" s="3" t="s">
        <v>65</v>
      </c>
      <c r="D9" s="3" t="s">
        <v>66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Data_Per_Hari</vt:lpstr>
      <vt:lpstr>Statistik_Hubungan</vt:lpstr>
      <vt:lpstr>Statistik_Deskriptif</vt:lpstr>
      <vt:lpstr>Rumus_Matematis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Raden Fachrengga Ayudha Putra</cp:lastModifiedBy>
  <dcterms:created xsi:type="dcterms:W3CDTF">2026-04-30T06:59:54Z</dcterms:created>
  <dcterms:modified xsi:type="dcterms:W3CDTF">2026-05-02T12:17:52Z</dcterms:modified>
</cp:coreProperties>
</file>